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7500" activeTab="3"/>
  </bookViews>
  <sheets>
    <sheet name="Raw Data" sheetId="2" r:id="rId1"/>
    <sheet name="Cleaned Data" sheetId="1" r:id="rId2"/>
    <sheet name="Xlookup" sheetId="3" r:id="rId3"/>
    <sheet name="PIvot Table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<sst xmlns="http://schemas.openxmlformats.org/spreadsheetml/2006/main" count="157" uniqueCount="51">
  <si>
    <t>Date</t>
  </si>
  <si>
    <t>Region</t>
  </si>
  <si>
    <t>Salesperson</t>
  </si>
  <si>
    <t>Product</t>
  </si>
  <si>
    <t>Units</t>
  </si>
  <si>
    <t>UnitPrice</t>
  </si>
  <si>
    <t>North</t>
  </si>
  <si>
    <t>Ali</t>
  </si>
  <si>
    <t>Laptop</t>
  </si>
  <si>
    <t>South</t>
  </si>
  <si>
    <t>Sara</t>
  </si>
  <si>
    <t>Mobile</t>
  </si>
  <si>
    <t>East</t>
  </si>
  <si>
    <t>Ahmed</t>
  </si>
  <si>
    <t>West</t>
  </si>
  <si>
    <t>Zain</t>
  </si>
  <si>
    <t>Tablet</t>
  </si>
  <si>
    <t>TotalSales</t>
  </si>
  <si>
    <t>Percentage of total</t>
  </si>
  <si>
    <t>SalesCategory</t>
  </si>
  <si>
    <t>Nested IF</t>
  </si>
  <si>
    <t>Rank sales</t>
  </si>
  <si>
    <t>Conditional Calculations</t>
  </si>
  <si>
    <r>
      <t xml:space="preserve">Sales only for </t>
    </r>
    <r>
      <rPr>
        <b/>
        <sz val="11"/>
        <color theme="1"/>
        <rFont val="Calibri"/>
        <charset val="134"/>
        <scheme val="minor"/>
      </rPr>
      <t>North</t>
    </r>
  </si>
  <si>
    <r>
      <t xml:space="preserve">Sales of </t>
    </r>
    <r>
      <rPr>
        <b/>
        <sz val="11"/>
        <color theme="1"/>
        <rFont val="Calibri"/>
        <charset val="134"/>
        <scheme val="minor"/>
      </rPr>
      <t>Laptop</t>
    </r>
  </si>
  <si>
    <t>Sales of Laptop in North</t>
  </si>
  <si>
    <t>Count transactions by Sara</t>
  </si>
  <si>
    <t>Text Functions</t>
  </si>
  <si>
    <t>Extract Region</t>
  </si>
  <si>
    <t>Uppercase names</t>
  </si>
  <si>
    <t>total=</t>
  </si>
  <si>
    <t>Clean spaces</t>
  </si>
  <si>
    <t>Average sales=</t>
  </si>
  <si>
    <t>Combine text</t>
  </si>
  <si>
    <t>Highest sale</t>
  </si>
  <si>
    <t>Lowest sale</t>
  </si>
  <si>
    <t>Date &amp; Time Functions</t>
  </si>
  <si>
    <t>Count sales rows</t>
  </si>
  <si>
    <t>Month name</t>
  </si>
  <si>
    <t>Month number</t>
  </si>
  <si>
    <t>Year</t>
  </si>
  <si>
    <t>Today’s date</t>
  </si>
  <si>
    <t>Category</t>
  </si>
  <si>
    <t>Target</t>
  </si>
  <si>
    <t>Electronics</t>
  </si>
  <si>
    <r>
      <t xml:space="preserve">Q1: Get </t>
    </r>
    <r>
      <rPr>
        <b/>
        <sz val="11"/>
        <color theme="1"/>
        <rFont val="Calibri"/>
        <charset val="134"/>
        <scheme val="minor"/>
      </rPr>
      <t>Product Category</t>
    </r>
    <r>
      <rPr>
        <sz val="11"/>
        <color theme="1"/>
        <rFont val="Calibri"/>
        <charset val="134"/>
        <scheme val="minor"/>
      </rPr>
      <t xml:space="preserve"> for each row</t>
    </r>
  </si>
  <si>
    <r>
      <t xml:space="preserve">Q2: Get </t>
    </r>
    <r>
      <rPr>
        <b/>
        <sz val="11"/>
        <color theme="1"/>
        <rFont val="Calibri"/>
        <charset val="134"/>
        <scheme val="minor"/>
      </rPr>
      <t>Sales Target</t>
    </r>
    <r>
      <rPr>
        <sz val="11"/>
        <color theme="1"/>
        <rFont val="Calibri"/>
        <charset val="134"/>
        <scheme val="minor"/>
      </rPr>
      <t xml:space="preserve"> for each Salesperson</t>
    </r>
  </si>
  <si>
    <r>
      <t xml:space="preserve">Q3: Show </t>
    </r>
    <r>
      <rPr>
        <b/>
        <sz val="11"/>
        <color theme="1"/>
        <rFont val="Calibri"/>
        <charset val="134"/>
        <scheme val="minor"/>
      </rPr>
      <t>"No Target"</t>
    </r>
    <r>
      <rPr>
        <sz val="11"/>
        <color theme="1"/>
        <rFont val="Calibri"/>
        <charset val="134"/>
        <scheme val="minor"/>
      </rPr>
      <t xml:space="preserve"> if Salesperson is missing</t>
    </r>
  </si>
  <si>
    <t>Q4:Find Salesperson whose Target = 5000</t>
  </si>
  <si>
    <t>Sum of TotalSales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</si>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</sst>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distributed" vertical="center" wrapText="1"/>
    </xf>
    <xf numFmtId="0" fontId="0" fillId="0" borderId="0" xfId="0" applyAlignment="1">
      <alignment horizontal="distributed" vertical="center"/>
    </xf>
    <xf numFmtId="58" fontId="0" fillId="0" borderId="0" xfId="0" applyNumberFormat="1" applyAlignment="1">
      <alignment horizontal="distributed" vertical="center" wrapText="1"/>
    </xf>
    <xf numFmtId="0" fontId="0" fillId="0" borderId="0" xfId="0" applyAlignment="1">
      <alignment horizontal="distributed" vertical="center"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5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2.6778472222" refreshedBy="Mandy" recordCount="7">
  <cacheSource type="worksheet">
    <worksheetSource ref="A1:G8" sheet="Xlookup"/>
  </cacheSource>
  <cacheFields count="7">
    <cacheField name="Date" numFmtId="58">
      <sharedItems containsSemiMixedTypes="0" containsString="0" containsNonDate="0" containsDate="1" minDate="2024-01-01T00:00:00" maxDate="2024-01-07T00:00:00" count="7">
        <d v="2024-01-01T00:00:00"/>
        <d v="2024-01-02T00:00:00"/>
        <d v="2024-01-03T00:00:00"/>
        <d v="2024-01-04T00:00:00"/>
        <d v="2024-01-05T00:00:00"/>
        <d v="2024-01-06T00:00:00"/>
        <d v="2024-01-07T00:00:00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Ali"/>
        <s v="Sara"/>
        <s v="Ahmed"/>
        <s v="Zain"/>
      </sharedItems>
    </cacheField>
    <cacheField name="Product" numFmtId="0">
      <sharedItems count="3">
        <s v="Laptop"/>
        <s v="Mobile"/>
        <s v="Tablet"/>
      </sharedItems>
    </cacheField>
    <cacheField name="Units" numFmtId="0">
      <sharedItems containsSemiMixedTypes="0" containsString="0" containsNumber="1" containsInteger="1" minValue="3" maxValue="10" count="7">
        <n v="5"/>
        <n v="10"/>
        <n v="3"/>
        <n v="7"/>
        <n v="6"/>
        <n v="4"/>
        <n v="8"/>
      </sharedItems>
    </cacheField>
    <cacheField name="UnitPrice" numFmtId="0">
      <sharedItems containsSemiMixedTypes="0" containsString="0" containsNumber="1" containsInteger="1" minValue="300" maxValue="800" count="3">
        <n v="800"/>
        <n v="500"/>
        <n v="300"/>
      </sharedItems>
    </cacheField>
    <cacheField name="TotalSales" numFmtId="0">
      <sharedItems containsSemiMixedTypes="0" containsString="0" containsNumber="1" containsInteger="1" minValue="2100" maxValue="5000" count="6">
        <n v="4000"/>
        <n v="5000"/>
        <n v="2400"/>
        <n v="2100"/>
        <n v="3000"/>
        <n v="32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0"/>
    <x v="2"/>
    <x v="0"/>
    <x v="2"/>
  </r>
  <r>
    <x v="3"/>
    <x v="3"/>
    <x v="3"/>
    <x v="2"/>
    <x v="3"/>
    <x v="2"/>
    <x v="3"/>
  </r>
  <r>
    <x v="4"/>
    <x v="0"/>
    <x v="0"/>
    <x v="1"/>
    <x v="4"/>
    <x v="1"/>
    <x v="4"/>
  </r>
  <r>
    <x v="5"/>
    <x v="1"/>
    <x v="1"/>
    <x v="0"/>
    <x v="5"/>
    <x v="0"/>
    <x v="5"/>
  </r>
  <r>
    <x v="6"/>
    <x v="2"/>
    <x v="2"/>
    <x v="2"/>
    <x v="6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7">
    <pivotField compact="0" numFmtId="58" showAll="0"/>
    <pivotField axis="axisRow" compact="0" multipleItemSelectionAllowed="1" showAll="0">
      <items count="5">
        <item x="2"/>
        <item x="0"/>
        <item x="1"/>
        <item x="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1:C15" firstHeaderRow="1" firstDataRow="1" firstDataCol="1"/>
  <pivotFields count="7">
    <pivotField compact="0" numFmtId="58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3:E8" firstHeaderRow="1" firstDataRow="1" firstDataCol="1"/>
  <pivotFields count="7">
    <pivotField compact="0" numFmtId="58" showAll="0"/>
    <pivotField compact="0" showAll="0"/>
    <pivotField axis="axisRow"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1:I17" firstHeaderRow="1" firstDataRow="2" firstDataCol="1"/>
  <pivotFields count="7">
    <pivotField compact="0" numFmtId="58" showAll="0"/>
    <pivotField axis="axisRow" compact="0" showAll="0">
      <items count="5">
        <item x="2"/>
        <item x="0"/>
        <item x="1"/>
        <item x="3"/>
        <item t="default"/>
      </items>
    </pivotField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1" sqref="C1"/>
    </sheetView>
  </sheetViews>
  <sheetFormatPr defaultColWidth="9.14285714285714" defaultRowHeight="15" outlineLevelRow="7" outlineLevelCol="5"/>
  <cols>
    <col min="3" max="3" width="12.1428571428571" customWidth="1"/>
  </cols>
  <sheetData>
    <row r="1" ht="30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9">
        <v>45292</v>
      </c>
      <c r="B2" s="10" t="s">
        <v>6</v>
      </c>
      <c r="C2" s="10" t="s">
        <v>7</v>
      </c>
      <c r="D2" s="10" t="s">
        <v>8</v>
      </c>
      <c r="E2" s="10">
        <v>5</v>
      </c>
      <c r="F2" s="10">
        <v>800</v>
      </c>
    </row>
    <row r="3" spans="1:6">
      <c r="A3" s="9">
        <v>45293</v>
      </c>
      <c r="B3" s="10" t="s">
        <v>9</v>
      </c>
      <c r="C3" s="10" t="s">
        <v>10</v>
      </c>
      <c r="D3" s="10" t="s">
        <v>11</v>
      </c>
      <c r="E3" s="10">
        <v>10</v>
      </c>
      <c r="F3" s="10">
        <v>500</v>
      </c>
    </row>
    <row r="4" spans="1:6">
      <c r="A4" s="9">
        <v>45294</v>
      </c>
      <c r="B4" s="10" t="s">
        <v>12</v>
      </c>
      <c r="C4" s="10" t="s">
        <v>13</v>
      </c>
      <c r="D4" s="10" t="s">
        <v>8</v>
      </c>
      <c r="E4" s="10">
        <v>3</v>
      </c>
      <c r="F4" s="10">
        <v>800</v>
      </c>
    </row>
    <row r="5" spans="1:6">
      <c r="A5" s="9">
        <v>45295</v>
      </c>
      <c r="B5" s="10" t="s">
        <v>14</v>
      </c>
      <c r="C5" s="10" t="s">
        <v>15</v>
      </c>
      <c r="D5" s="10" t="s">
        <v>16</v>
      </c>
      <c r="E5" s="10">
        <v>7</v>
      </c>
      <c r="F5" s="10">
        <v>300</v>
      </c>
    </row>
    <row r="6" spans="1:6">
      <c r="A6" s="9">
        <v>45296</v>
      </c>
      <c r="B6" s="10" t="s">
        <v>6</v>
      </c>
      <c r="C6" s="10" t="s">
        <v>7</v>
      </c>
      <c r="D6" s="10" t="s">
        <v>11</v>
      </c>
      <c r="E6" s="10">
        <v>6</v>
      </c>
      <c r="F6" s="10">
        <v>500</v>
      </c>
    </row>
    <row r="7" spans="1:6">
      <c r="A7" s="9">
        <v>45297</v>
      </c>
      <c r="B7" s="10" t="s">
        <v>9</v>
      </c>
      <c r="C7" s="10" t="s">
        <v>10</v>
      </c>
      <c r="D7" s="10" t="s">
        <v>8</v>
      </c>
      <c r="E7" s="10">
        <v>4</v>
      </c>
      <c r="F7" s="10">
        <v>800</v>
      </c>
    </row>
    <row r="8" spans="1:6">
      <c r="A8" s="9">
        <v>45298</v>
      </c>
      <c r="B8" s="10" t="s">
        <v>12</v>
      </c>
      <c r="C8" s="10" t="s">
        <v>13</v>
      </c>
      <c r="D8" s="10" t="s">
        <v>16</v>
      </c>
      <c r="E8" s="10">
        <v>8</v>
      </c>
      <c r="F8" s="10">
        <v>300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C3" sqref="C3"/>
    </sheetView>
  </sheetViews>
  <sheetFormatPr defaultColWidth="9.14285714285714" defaultRowHeight="15"/>
  <cols>
    <col min="1" max="1" width="9.28571428571429"/>
    <col min="3" max="3" width="11.7142857142857" customWidth="1"/>
    <col min="6" max="6" width="18.2857142857143" customWidth="1"/>
    <col min="7" max="7" width="13.8571428571429" customWidth="1"/>
    <col min="8" max="8" width="21.8571428571429" customWidth="1"/>
    <col min="9" max="9" width="13.5714285714286" customWidth="1"/>
    <col min="10" max="10" width="14.1428571428571" customWidth="1"/>
    <col min="11" max="11" width="10.2857142857143" customWidth="1"/>
    <col min="12" max="12" width="8.28571428571429" customWidth="1"/>
    <col min="13" max="13" width="23.8571428571429" customWidth="1"/>
    <col min="14" max="14" width="11.4285714285714"/>
  </cols>
  <sheetData>
    <row r="1" ht="40" customHeight="1" spans="1:1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17</v>
      </c>
      <c r="H1" s="8" t="s">
        <v>18</v>
      </c>
      <c r="I1" s="7" t="s">
        <v>19</v>
      </c>
      <c r="J1" s="7" t="s">
        <v>20</v>
      </c>
      <c r="K1" s="8" t="s">
        <v>21</v>
      </c>
      <c r="L1" s="7"/>
      <c r="M1" s="7" t="s">
        <v>22</v>
      </c>
    </row>
    <row r="2" spans="1:14">
      <c r="A2" s="9">
        <v>45292</v>
      </c>
      <c r="B2" s="10" t="s">
        <v>6</v>
      </c>
      <c r="C2" s="10" t="s">
        <v>7</v>
      </c>
      <c r="D2" s="10" t="s">
        <v>8</v>
      </c>
      <c r="E2" s="10">
        <v>5</v>
      </c>
      <c r="F2" s="10">
        <v>800</v>
      </c>
      <c r="G2">
        <f>E2*F2</f>
        <v>4000</v>
      </c>
      <c r="H2" s="11">
        <f>G2/$G$10</f>
        <v>0.180995475113122</v>
      </c>
      <c r="I2" t="str">
        <f>IF(G2&gt;=3000,"High","Low")</f>
        <v>High</v>
      </c>
      <c r="J2" t="str">
        <f>IF(G2&gt;=4000,"Very High",IF(G2&gt;=2000,"Medium","Low"))</f>
        <v>Very High</v>
      </c>
      <c r="K2">
        <f>RANK(G2,$G$2:$G$8)</f>
        <v>2</v>
      </c>
      <c r="M2" t="s">
        <v>23</v>
      </c>
      <c r="N2">
        <f>SUMIF(B2:B8,"north",G2:G8)</f>
        <v>7000</v>
      </c>
    </row>
    <row r="3" spans="1:14">
      <c r="A3" s="9">
        <v>45293</v>
      </c>
      <c r="B3" s="10" t="s">
        <v>9</v>
      </c>
      <c r="C3" s="10" t="s">
        <v>10</v>
      </c>
      <c r="D3" s="10" t="s">
        <v>11</v>
      </c>
      <c r="E3" s="10">
        <v>10</v>
      </c>
      <c r="F3" s="10">
        <v>500</v>
      </c>
      <c r="G3">
        <f t="shared" ref="G3:G8" si="0">E3*F3</f>
        <v>5000</v>
      </c>
      <c r="H3" s="11">
        <f t="shared" ref="H3:H8" si="1">G3/$G$10</f>
        <v>0.226244343891403</v>
      </c>
      <c r="I3" t="str">
        <f t="shared" ref="I3:I8" si="2">IF(G3&gt;=3000,"High","Low")</f>
        <v>High</v>
      </c>
      <c r="J3" t="str">
        <f t="shared" ref="J3:J8" si="3">IF(G3&gt;=4000,"Very High",IF(G3&gt;=2000,"Medium","Low"))</f>
        <v>Very High</v>
      </c>
      <c r="K3">
        <f t="shared" ref="K3:K13" si="4">RANK(G3,$G$2:$G$8)</f>
        <v>1</v>
      </c>
      <c r="M3" t="s">
        <v>24</v>
      </c>
      <c r="N3">
        <f>SUMIF(D2:D8,"laptop",G2:G8)</f>
        <v>9600</v>
      </c>
    </row>
    <row r="4" spans="1:14">
      <c r="A4" s="9">
        <v>45294</v>
      </c>
      <c r="B4" s="10" t="s">
        <v>12</v>
      </c>
      <c r="C4" s="10" t="s">
        <v>13</v>
      </c>
      <c r="D4" s="10" t="s">
        <v>8</v>
      </c>
      <c r="E4" s="10">
        <v>3</v>
      </c>
      <c r="F4" s="10">
        <v>800</v>
      </c>
      <c r="G4">
        <f t="shared" si="0"/>
        <v>2400</v>
      </c>
      <c r="H4" s="11">
        <f t="shared" si="1"/>
        <v>0.108597285067873</v>
      </c>
      <c r="I4" t="str">
        <f t="shared" si="2"/>
        <v>Low</v>
      </c>
      <c r="J4" t="str">
        <f t="shared" si="3"/>
        <v>Medium</v>
      </c>
      <c r="K4">
        <f t="shared" si="4"/>
        <v>5</v>
      </c>
      <c r="M4" t="s">
        <v>25</v>
      </c>
      <c r="N4">
        <f>SUMIFS(G2:G8,D2:D8,"laptop",B2:B8,"north")</f>
        <v>4000</v>
      </c>
    </row>
    <row r="5" spans="1:14">
      <c r="A5" s="9">
        <v>45295</v>
      </c>
      <c r="B5" s="10" t="s">
        <v>14</v>
      </c>
      <c r="C5" s="10" t="s">
        <v>15</v>
      </c>
      <c r="D5" s="10" t="s">
        <v>16</v>
      </c>
      <c r="E5" s="10">
        <v>7</v>
      </c>
      <c r="F5" s="10">
        <v>300</v>
      </c>
      <c r="G5">
        <f t="shared" si="0"/>
        <v>2100</v>
      </c>
      <c r="H5" s="11">
        <f t="shared" si="1"/>
        <v>0.0950226244343891</v>
      </c>
      <c r="I5" t="str">
        <f t="shared" si="2"/>
        <v>Low</v>
      </c>
      <c r="J5" t="str">
        <f t="shared" si="3"/>
        <v>Medium</v>
      </c>
      <c r="K5">
        <f t="shared" si="4"/>
        <v>7</v>
      </c>
      <c r="M5" t="s">
        <v>26</v>
      </c>
      <c r="N5">
        <f>COUNTIF(C2:C8,"sara")</f>
        <v>2</v>
      </c>
    </row>
    <row r="6" spans="1:11">
      <c r="A6" s="9">
        <v>45296</v>
      </c>
      <c r="B6" s="10" t="s">
        <v>6</v>
      </c>
      <c r="C6" s="10" t="s">
        <v>7</v>
      </c>
      <c r="D6" s="10" t="s">
        <v>11</v>
      </c>
      <c r="E6" s="10">
        <v>6</v>
      </c>
      <c r="F6" s="10">
        <v>500</v>
      </c>
      <c r="G6">
        <f t="shared" si="0"/>
        <v>3000</v>
      </c>
      <c r="H6" s="11">
        <f t="shared" si="1"/>
        <v>0.135746606334842</v>
      </c>
      <c r="I6" t="str">
        <f t="shared" si="2"/>
        <v>High</v>
      </c>
      <c r="J6" t="str">
        <f t="shared" si="3"/>
        <v>Medium</v>
      </c>
      <c r="K6">
        <f t="shared" si="4"/>
        <v>4</v>
      </c>
    </row>
    <row r="7" spans="1:13">
      <c r="A7" s="9">
        <v>45297</v>
      </c>
      <c r="B7" s="10" t="s">
        <v>9</v>
      </c>
      <c r="C7" s="10" t="s">
        <v>10</v>
      </c>
      <c r="D7" s="10" t="s">
        <v>8</v>
      </c>
      <c r="E7" s="10">
        <v>4</v>
      </c>
      <c r="F7" s="10">
        <v>800</v>
      </c>
      <c r="G7">
        <f t="shared" si="0"/>
        <v>3200</v>
      </c>
      <c r="H7" s="11">
        <f t="shared" si="1"/>
        <v>0.144796380090498</v>
      </c>
      <c r="I7" t="str">
        <f t="shared" si="2"/>
        <v>High</v>
      </c>
      <c r="J7" t="str">
        <f t="shared" si="3"/>
        <v>Medium</v>
      </c>
      <c r="K7">
        <f t="shared" si="4"/>
        <v>3</v>
      </c>
      <c r="L7" s="7"/>
      <c r="M7" s="7" t="s">
        <v>27</v>
      </c>
    </row>
    <row r="8" spans="1:14">
      <c r="A8" s="9">
        <v>45298</v>
      </c>
      <c r="B8" s="10" t="s">
        <v>12</v>
      </c>
      <c r="C8" s="10" t="s">
        <v>13</v>
      </c>
      <c r="D8" s="10" t="s">
        <v>16</v>
      </c>
      <c r="E8" s="10">
        <v>8</v>
      </c>
      <c r="F8" s="10">
        <v>300</v>
      </c>
      <c r="G8">
        <f t="shared" si="0"/>
        <v>2400</v>
      </c>
      <c r="H8" s="11">
        <f t="shared" si="1"/>
        <v>0.108597285067873</v>
      </c>
      <c r="I8" t="str">
        <f t="shared" si="2"/>
        <v>Low</v>
      </c>
      <c r="J8" t="str">
        <f t="shared" si="3"/>
        <v>Medium</v>
      </c>
      <c r="K8">
        <f t="shared" si="4"/>
        <v>5</v>
      </c>
      <c r="M8" t="s">
        <v>28</v>
      </c>
      <c r="N8" t="str">
        <f>LEFT(B2,3)</f>
        <v>Nor</v>
      </c>
    </row>
    <row r="9" spans="8:14">
      <c r="H9" s="11"/>
      <c r="M9" t="s">
        <v>29</v>
      </c>
      <c r="N9" t="str">
        <f>UPPER(C2)</f>
        <v>ALI</v>
      </c>
    </row>
    <row r="10" spans="6:14">
      <c r="F10" s="8" t="s">
        <v>30</v>
      </c>
      <c r="G10" s="12">
        <f>SUM(G2:G8)</f>
        <v>22100</v>
      </c>
      <c r="M10" t="s">
        <v>31</v>
      </c>
      <c r="N10" t="str">
        <f>TRIM(C8)</f>
        <v>Ahmed</v>
      </c>
    </row>
    <row r="11" spans="6:14">
      <c r="F11" s="8" t="s">
        <v>32</v>
      </c>
      <c r="G11">
        <f>AVERAGE(G2:G8)</f>
        <v>3157.14285714286</v>
      </c>
      <c r="M11" t="s">
        <v>33</v>
      </c>
      <c r="N11" t="str">
        <f>C2&amp;"-"&amp;D2</f>
        <v>Ali-Laptop</v>
      </c>
    </row>
    <row r="12" spans="6:7">
      <c r="F12" s="8" t="s">
        <v>34</v>
      </c>
      <c r="G12">
        <f>MAX(G2:G8)</f>
        <v>5000</v>
      </c>
    </row>
    <row r="13" spans="6:13">
      <c r="F13" s="8" t="s">
        <v>35</v>
      </c>
      <c r="G13">
        <f>MIN(G2:G8)</f>
        <v>2100</v>
      </c>
      <c r="M13" s="7" t="s">
        <v>36</v>
      </c>
    </row>
    <row r="14" spans="6:14">
      <c r="F14" s="8" t="s">
        <v>37</v>
      </c>
      <c r="G14">
        <f>COUNT(G2:G8)</f>
        <v>7</v>
      </c>
      <c r="M14" t="s">
        <v>38</v>
      </c>
      <c r="N14" t="str">
        <f>TEXT(A2,"mmmm")</f>
        <v>January</v>
      </c>
    </row>
    <row r="15" spans="13:14">
      <c r="M15" t="s">
        <v>39</v>
      </c>
      <c r="N15">
        <f>MONTH(A2)</f>
        <v>1</v>
      </c>
    </row>
    <row r="16" spans="13:14">
      <c r="M16" t="s">
        <v>40</v>
      </c>
      <c r="N16">
        <f>YEAR(A2)</f>
        <v>2024</v>
      </c>
    </row>
    <row r="17" spans="13:14">
      <c r="M17" t="s">
        <v>41</v>
      </c>
      <c r="N17" s="13">
        <f ca="1">TODAY()</f>
        <v>46022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3" sqref="A3"/>
    </sheetView>
  </sheetViews>
  <sheetFormatPr defaultColWidth="9.14285714285714" defaultRowHeight="15"/>
  <cols>
    <col min="1" max="1" width="9.28571428571429"/>
    <col min="3" max="3" width="14.1428571428571" customWidth="1"/>
    <col min="7" max="7" width="12.8571428571429" customWidth="1"/>
    <col min="10" max="10" width="16.2857142857143" customWidth="1"/>
    <col min="11" max="11" width="16.5714285714286" customWidth="1"/>
    <col min="12" max="12" width="12.7142857142857" customWidth="1"/>
    <col min="13" max="13" width="1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2"/>
      <c r="I1" s="1" t="s">
        <v>3</v>
      </c>
      <c r="J1" s="1" t="s">
        <v>42</v>
      </c>
      <c r="K1" s="1"/>
      <c r="L1" s="1" t="s">
        <v>2</v>
      </c>
      <c r="M1" s="1" t="s">
        <v>43</v>
      </c>
      <c r="N1" s="1"/>
    </row>
    <row r="2" spans="1:14">
      <c r="A2" s="3">
        <v>45292</v>
      </c>
      <c r="B2" s="4" t="s">
        <v>6</v>
      </c>
      <c r="C2" s="4" t="s">
        <v>7</v>
      </c>
      <c r="D2" s="4" t="s">
        <v>8</v>
      </c>
      <c r="E2" s="4">
        <v>5</v>
      </c>
      <c r="F2" s="4">
        <v>800</v>
      </c>
      <c r="G2" s="4">
        <v>4000</v>
      </c>
      <c r="H2" s="2"/>
      <c r="I2" s="4" t="s">
        <v>8</v>
      </c>
      <c r="J2" s="4" t="s">
        <v>44</v>
      </c>
      <c r="K2" s="4"/>
      <c r="L2" s="4" t="s">
        <v>7</v>
      </c>
      <c r="M2" s="4">
        <v>4500</v>
      </c>
      <c r="N2" s="4"/>
    </row>
    <row r="3" spans="1:14">
      <c r="A3" s="3">
        <v>45293</v>
      </c>
      <c r="B3" s="4" t="s">
        <v>9</v>
      </c>
      <c r="C3" s="4" t="s">
        <v>10</v>
      </c>
      <c r="D3" s="4" t="s">
        <v>11</v>
      </c>
      <c r="E3" s="4">
        <v>10</v>
      </c>
      <c r="F3" s="4">
        <v>500</v>
      </c>
      <c r="G3" s="4">
        <v>5000</v>
      </c>
      <c r="H3" s="2"/>
      <c r="I3" s="4" t="s">
        <v>11</v>
      </c>
      <c r="J3" s="4" t="s">
        <v>44</v>
      </c>
      <c r="K3" s="4"/>
      <c r="L3" s="4" t="s">
        <v>10</v>
      </c>
      <c r="M3" s="4">
        <v>5000</v>
      </c>
      <c r="N3" s="4"/>
    </row>
    <row r="4" spans="1:14">
      <c r="A4" s="3">
        <v>45294</v>
      </c>
      <c r="B4" s="4" t="s">
        <v>12</v>
      </c>
      <c r="C4" s="4" t="s">
        <v>13</v>
      </c>
      <c r="D4" s="4" t="s">
        <v>8</v>
      </c>
      <c r="E4" s="4">
        <v>3</v>
      </c>
      <c r="F4" s="4">
        <v>800</v>
      </c>
      <c r="G4" s="4">
        <v>2400</v>
      </c>
      <c r="H4" s="2"/>
      <c r="I4" s="4" t="s">
        <v>16</v>
      </c>
      <c r="J4" s="4" t="s">
        <v>44</v>
      </c>
      <c r="K4" s="4"/>
      <c r="L4" s="4" t="s">
        <v>13</v>
      </c>
      <c r="M4" s="4">
        <v>3000</v>
      </c>
      <c r="N4" s="4"/>
    </row>
    <row r="5" spans="1:14">
      <c r="A5" s="3">
        <v>45295</v>
      </c>
      <c r="B5" s="4" t="s">
        <v>14</v>
      </c>
      <c r="C5" s="4" t="s">
        <v>15</v>
      </c>
      <c r="D5" s="4" t="s">
        <v>16</v>
      </c>
      <c r="E5" s="4">
        <v>7</v>
      </c>
      <c r="F5" s="4">
        <v>300</v>
      </c>
      <c r="G5" s="4">
        <v>2100</v>
      </c>
      <c r="H5" s="2"/>
      <c r="I5" s="2"/>
      <c r="J5" s="2"/>
      <c r="K5" s="2"/>
      <c r="L5" s="4" t="s">
        <v>15</v>
      </c>
      <c r="M5" s="4">
        <v>3500</v>
      </c>
      <c r="N5" s="4"/>
    </row>
    <row r="6" spans="1:14">
      <c r="A6" s="3">
        <v>45296</v>
      </c>
      <c r="B6" s="4" t="s">
        <v>6</v>
      </c>
      <c r="C6" s="4" t="s">
        <v>7</v>
      </c>
      <c r="D6" s="4" t="s">
        <v>11</v>
      </c>
      <c r="E6" s="4">
        <v>6</v>
      </c>
      <c r="F6" s="4">
        <v>500</v>
      </c>
      <c r="G6" s="4">
        <v>3000</v>
      </c>
      <c r="H6" s="2"/>
      <c r="I6" s="2"/>
      <c r="J6" s="2"/>
      <c r="K6" s="2"/>
      <c r="L6" s="2"/>
      <c r="M6" s="2"/>
      <c r="N6" s="2"/>
    </row>
    <row r="7" spans="1:14">
      <c r="A7" s="3">
        <v>45297</v>
      </c>
      <c r="B7" s="4" t="s">
        <v>9</v>
      </c>
      <c r="C7" s="4" t="s">
        <v>10</v>
      </c>
      <c r="D7" s="4" t="s">
        <v>8</v>
      </c>
      <c r="E7" s="4">
        <v>4</v>
      </c>
      <c r="F7" s="4">
        <v>800</v>
      </c>
      <c r="G7" s="4">
        <v>3200</v>
      </c>
      <c r="H7" s="2"/>
      <c r="I7" s="2"/>
      <c r="J7" s="2"/>
      <c r="K7" s="2"/>
      <c r="L7" s="2"/>
      <c r="M7" s="2"/>
      <c r="N7" s="2"/>
    </row>
    <row r="8" spans="1:14">
      <c r="A8" s="3">
        <v>45298</v>
      </c>
      <c r="B8" s="4" t="s">
        <v>12</v>
      </c>
      <c r="C8" s="4" t="s">
        <v>13</v>
      </c>
      <c r="D8" s="4" t="s">
        <v>16</v>
      </c>
      <c r="E8" s="4">
        <v>8</v>
      </c>
      <c r="F8" s="4">
        <v>300</v>
      </c>
      <c r="G8" s="4">
        <v>2400</v>
      </c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t="s">
        <v>45</v>
      </c>
      <c r="J10" s="2"/>
      <c r="K10" s="2"/>
      <c r="L10" s="2" t="str">
        <f>_xlfn.XLOOKUP(D2,$I$2:$I$4,$J$2:$J$4)</f>
        <v>Electronics</v>
      </c>
      <c r="M10" s="2"/>
      <c r="N10" s="2"/>
    </row>
    <row r="11" spans="9:12">
      <c r="I11" t="s">
        <v>46</v>
      </c>
      <c r="L11" s="2">
        <f>_xlfn.XLOOKUP(L3,L2:L5,M2:M5)</f>
        <v>5000</v>
      </c>
    </row>
    <row r="12" spans="9:12">
      <c r="I12" t="s">
        <v>47</v>
      </c>
      <c r="L12">
        <f>_xlfn.XLOOKUP(L5,L2:L5,M2:M5,"Not Found")</f>
        <v>3500</v>
      </c>
    </row>
    <row r="13" spans="9:12">
      <c r="I13" t="s">
        <v>48</v>
      </c>
      <c r="L13" t="str">
        <f>_xlfn.XLOOKUP(M3,M2:M5,L2:L5)</f>
        <v>Sara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7"/>
  <sheetViews>
    <sheetView tabSelected="1" workbookViewId="0">
      <selection activeCell="H11" sqref="H11"/>
    </sheetView>
  </sheetViews>
  <sheetFormatPr defaultColWidth="9.14285714285714" defaultRowHeight="15"/>
  <cols>
    <col min="1" max="2" width="12.1428571428571"/>
    <col min="3" max="3" width="18"/>
    <col min="4" max="4" width="14.5714285714286"/>
    <col min="5" max="5" width="18"/>
    <col min="6" max="8" width="10.4285714285714"/>
    <col min="9" max="9" width="11.8571428571429"/>
  </cols>
  <sheetData>
    <row r="3" spans="1:5">
      <c r="A3" t="s">
        <v>1</v>
      </c>
      <c r="B3" t="s">
        <v>49</v>
      </c>
      <c r="C3"/>
      <c r="D3" t="s">
        <v>2</v>
      </c>
      <c r="E3" t="s">
        <v>49</v>
      </c>
    </row>
    <row r="4" spans="1:5">
      <c r="A4" t="s">
        <v>12</v>
      </c>
      <c r="B4">
        <v>4800</v>
      </c>
      <c r="C4"/>
      <c r="D4" t="s">
        <v>13</v>
      </c>
      <c r="E4">
        <v>4800</v>
      </c>
    </row>
    <row r="5" spans="1:5">
      <c r="A5" t="s">
        <v>6</v>
      </c>
      <c r="B5">
        <v>7000</v>
      </c>
      <c r="C5"/>
      <c r="D5" t="s">
        <v>7</v>
      </c>
      <c r="E5">
        <v>7000</v>
      </c>
    </row>
    <row r="6" spans="1:5">
      <c r="A6" t="s">
        <v>9</v>
      </c>
      <c r="B6">
        <v>8200</v>
      </c>
      <c r="C6"/>
      <c r="D6" t="s">
        <v>10</v>
      </c>
      <c r="E6">
        <v>8200</v>
      </c>
    </row>
    <row r="7" spans="1:5">
      <c r="A7" t="s">
        <v>14</v>
      </c>
      <c r="B7">
        <v>2100</v>
      </c>
      <c r="C7"/>
      <c r="D7" t="s">
        <v>15</v>
      </c>
      <c r="E7">
        <v>2100</v>
      </c>
    </row>
    <row r="8" spans="1:5">
      <c r="A8" t="s">
        <v>50</v>
      </c>
      <c r="B8">
        <v>22100</v>
      </c>
      <c r="C8"/>
      <c r="D8" t="s">
        <v>50</v>
      </c>
      <c r="E8">
        <v>22100</v>
      </c>
    </row>
    <row r="11" spans="2:6">
      <c r="B11" t="s">
        <v>3</v>
      </c>
      <c r="C11" t="s">
        <v>49</v>
      </c>
      <c r="D11"/>
      <c r="E11" t="s">
        <v>49</v>
      </c>
      <c r="F11" t="s">
        <v>3</v>
      </c>
    </row>
    <row r="12" spans="2:9">
      <c r="B12" t="s">
        <v>8</v>
      </c>
      <c r="C12">
        <v>9600</v>
      </c>
      <c r="D12"/>
      <c r="E12" t="s">
        <v>1</v>
      </c>
      <c r="F12" t="s">
        <v>8</v>
      </c>
      <c r="G12" t="s">
        <v>11</v>
      </c>
      <c r="H12" t="s">
        <v>16</v>
      </c>
      <c r="I12" t="s">
        <v>50</v>
      </c>
    </row>
    <row r="13" spans="2:9">
      <c r="B13" t="s">
        <v>11</v>
      </c>
      <c r="C13">
        <v>8000</v>
      </c>
      <c r="D13"/>
      <c r="E13" t="s">
        <v>12</v>
      </c>
      <c r="F13">
        <v>2400</v>
      </c>
      <c r="G13"/>
      <c r="H13">
        <v>2400</v>
      </c>
      <c r="I13">
        <v>4800</v>
      </c>
    </row>
    <row r="14" spans="2:9">
      <c r="B14" t="s">
        <v>16</v>
      </c>
      <c r="C14">
        <v>4500</v>
      </c>
      <c r="D14"/>
      <c r="E14" t="s">
        <v>6</v>
      </c>
      <c r="F14">
        <v>4000</v>
      </c>
      <c r="G14">
        <v>3000</v>
      </c>
      <c r="I14">
        <v>7000</v>
      </c>
    </row>
    <row r="15" spans="2:9">
      <c r="B15" t="s">
        <v>50</v>
      </c>
      <c r="C15">
        <v>22100</v>
      </c>
      <c r="D15"/>
      <c r="E15" t="s">
        <v>9</v>
      </c>
      <c r="F15">
        <v>3200</v>
      </c>
      <c r="G15">
        <v>5000</v>
      </c>
      <c r="I15">
        <v>8200</v>
      </c>
    </row>
    <row r="16" spans="5:9">
      <c r="E16" t="s">
        <v>14</v>
      </c>
      <c r="F16"/>
      <c r="G16"/>
      <c r="H16">
        <v>2100</v>
      </c>
      <c r="I16">
        <v>2100</v>
      </c>
    </row>
    <row r="17" spans="5:9">
      <c r="E17" t="s">
        <v>50</v>
      </c>
      <c r="F17">
        <v>9600</v>
      </c>
      <c r="G17">
        <v>8000</v>
      </c>
      <c r="H17">
        <v>4500</v>
      </c>
      <c r="I17">
        <v>22100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Xlookup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</dc:creator>
  <cp:lastModifiedBy>Hafsa Azeem</cp:lastModifiedBy>
  <dcterms:created xsi:type="dcterms:W3CDTF">2025-12-31T09:58:13Z</dcterms:created>
  <dcterms:modified xsi:type="dcterms:W3CDTF">2025-12-31T11:23:04Z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AB8D76ACE29E4016A388A234FDCE2599_13</vt:lpwstr>
  </property>
  <property fmtid="{D5CDD505-2E9C-101B-9397-08002B2CF9AE}" pid="3" name="KSOProductBuildVer">
    <vt:lpwstr>1033-12.2.0.23196</vt:lpwstr>
  </property>
</Properties>
</file>